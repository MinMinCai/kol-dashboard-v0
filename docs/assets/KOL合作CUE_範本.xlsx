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actaiwan-my.sharepoint.com/personal/jason-huang_dactp_com_tw/Documents/DAC/KOL PJT/模板參考/"/>
    </mc:Choice>
  </mc:AlternateContent>
  <xr:revisionPtr revIDLastSave="63" documentId="8_{375E4B29-1D1F-4DB2-A5FF-0DEC17CB7334}" xr6:coauthVersionLast="47" xr6:coauthVersionMax="47" xr10:uidLastSave="{1A378B94-AA9E-4A10-8B56-C1188F9B8EF7}"/>
  <bookViews>
    <workbookView xWindow="28680" yWindow="-120" windowWidth="29040" windowHeight="15720" tabRatio="865" xr2:uid="{00000000-000D-0000-FFFF-FFFF00000000}"/>
  </bookViews>
  <sheets>
    <sheet name="調理家電新品KOC合作" sheetId="29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調理家電新品KOC合作!$B$13:$L$25</definedName>
    <definedName name="ACRate">#REF!</definedName>
    <definedName name="ACRateIni">#REF!</definedName>
    <definedName name="buget">#REF!</definedName>
    <definedName name="ChannelList">#REF!</definedName>
    <definedName name="cii">#REF!</definedName>
    <definedName name="cue">#REF!</definedName>
    <definedName name="cue總表">#REF!</definedName>
    <definedName name="Customer">#REF!</definedName>
    <definedName name="CWk_TBCCatAdvBrdTyp">#REF!</definedName>
    <definedName name="DateLabel">#REF!</definedName>
    <definedName name="DD">#REF!</definedName>
    <definedName name="EDate">#REF!</definedName>
    <definedName name="ERE">#REF!</definedName>
    <definedName name="ET">#REF!</definedName>
    <definedName name="FEWE">#REF!</definedName>
    <definedName name="GEGT">#REF!</definedName>
    <definedName name="GraphName">#REF!</definedName>
    <definedName name="HRTH">#REF!</definedName>
    <definedName name="in">#REF!</definedName>
    <definedName name="LabCus">#REF!</definedName>
    <definedName name="labDate">#REF!</definedName>
    <definedName name="LabSDate">#REF!</definedName>
    <definedName name="Lab商品">#REF!</definedName>
    <definedName name="Number_of_Y_Axis">#REF!</definedName>
    <definedName name="_xlnm.Print_Area" localSheetId="0">調理家電新品KOC合作!$A$1:$J$28</definedName>
    <definedName name="SASA">#REF!</definedName>
    <definedName name="SDate">#REF!</definedName>
    <definedName name="SheetName">#REF!</definedName>
    <definedName name="Source_Data">#REF!</definedName>
    <definedName name="SSS">#REF!</definedName>
    <definedName name="TaxRate">#REF!</definedName>
    <definedName name="Test">#REF!</definedName>
    <definedName name="Time">#REF!</definedName>
    <definedName name="TimeList">#REF!</definedName>
    <definedName name="TotalA">#REF!</definedName>
    <definedName name="TOTALA1">#REF!</definedName>
    <definedName name="TOTALA2">#REF!</definedName>
    <definedName name="TOTALA3">#REF!</definedName>
    <definedName name="TotalB">#REF!</definedName>
    <definedName name="TotalC">#REF!</definedName>
    <definedName name="TotalNet">#REF!</definedName>
    <definedName name="txtCustom">#REF!</definedName>
    <definedName name="UniverseTotal">[1]UniverseTotal!#REF!</definedName>
    <definedName name="X_Axis">#REF!</definedName>
    <definedName name="YAxis1">#REF!</definedName>
    <definedName name="YAxis2">#REF!</definedName>
    <definedName name="YAxis3">#REF!</definedName>
    <definedName name="YAxis4">#REF!</definedName>
    <definedName name="YAxis5">#REF!</definedName>
    <definedName name="YAxis6">#REF!</definedName>
    <definedName name="YAxis7">#REF!</definedName>
    <definedName name="YAxis8">#REF!</definedName>
    <definedName name="YName1">#REF!</definedName>
    <definedName name="YName2">#REF!</definedName>
    <definedName name="YName3">#REF!</definedName>
    <definedName name="YName4">#REF!</definedName>
    <definedName name="YName5">#REF!</definedName>
    <definedName name="YName6">#REF!</definedName>
    <definedName name="YName7">#REF!</definedName>
    <definedName name="YName8">#REF!</definedName>
    <definedName name="ㄇ">#REF!</definedName>
    <definedName name="版位">[2]Sheet1!$A$1:$B$14</definedName>
    <definedName name="起始日期">#REF!</definedName>
    <definedName name="商品">#REF!</definedName>
    <definedName name="產品編號">[3]報價單!$AA$501:$AA$514</definedName>
    <definedName name="資料庫">#REF!</definedName>
    <definedName name="預算">#REF!</definedName>
    <definedName name="課稅別">[4]頻道!$B$1:$B$65536</definedName>
    <definedName name="頻道">[5]頻道!$B$1:$B$65536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1" i="29" l="1"/>
  <c r="I12" i="29" l="1"/>
  <c r="I13" i="29" s="1"/>
</calcChain>
</file>

<file path=xl/sharedStrings.xml><?xml version="1.0" encoding="utf-8"?>
<sst xmlns="http://schemas.openxmlformats.org/spreadsheetml/2006/main" count="20" uniqueCount="20">
  <si>
    <t>執行日期</t>
    <phoneticPr fontId="10" type="noConversion"/>
  </si>
  <si>
    <t>合作內容</t>
    <phoneticPr fontId="6" type="noConversion"/>
  </si>
  <si>
    <t>專案報價</t>
    <phoneticPr fontId="6" type="noConversion"/>
  </si>
  <si>
    <t>授權項目</t>
    <phoneticPr fontId="6" type="noConversion"/>
  </si>
  <si>
    <t>KOL費用報價單 PRODUCTION PRE-ESTIMATE</t>
    <phoneticPr fontId="6" type="noConversion"/>
  </si>
  <si>
    <r>
      <t xml:space="preserve"> 台灣</t>
    </r>
    <r>
      <rPr>
        <sz val="14"/>
        <color rgb="FF000000"/>
        <rFont val="微軟正黑體"/>
        <family val="2"/>
        <charset val="136"/>
      </rPr>
      <t>迪艾思</t>
    </r>
    <r>
      <rPr>
        <sz val="14"/>
        <color indexed="8"/>
        <rFont val="微軟正黑體"/>
        <family val="2"/>
        <charset val="136"/>
      </rPr>
      <t>股</t>
    </r>
    <r>
      <rPr>
        <sz val="14"/>
        <color rgb="FF000000"/>
        <rFont val="微軟正黑體"/>
        <family val="2"/>
        <charset val="136"/>
      </rPr>
      <t>份</t>
    </r>
    <r>
      <rPr>
        <sz val="14"/>
        <color indexed="8"/>
        <rFont val="微軟正黑體"/>
        <family val="2"/>
        <charset val="136"/>
      </rPr>
      <t>有限公司</t>
    </r>
    <phoneticPr fontId="6" type="noConversion"/>
  </si>
  <si>
    <t>*合作時程依據雙方信件聯繫實際安排為主</t>
    <phoneticPr fontId="6" type="noConversion"/>
  </si>
  <si>
    <t>合作產品</t>
    <phoneticPr fontId="6" type="noConversion"/>
  </si>
  <si>
    <t>預估觸及數</t>
    <phoneticPr fontId="6" type="noConversion"/>
  </si>
  <si>
    <t>預估互動數</t>
    <phoneticPr fontId="6" type="noConversion"/>
  </si>
  <si>
    <t>客戶：</t>
    <phoneticPr fontId="8" type="noConversion"/>
  </si>
  <si>
    <t>案件名稱：</t>
    <phoneticPr fontId="8" type="noConversion"/>
  </si>
  <si>
    <t>執行月份：</t>
    <phoneticPr fontId="9" type="noConversion"/>
  </si>
  <si>
    <t>KOL人選</t>
    <phoneticPr fontId="6" type="noConversion"/>
  </si>
  <si>
    <t>*KOL合作上線當月開立發票請款，請款月份視實際狀況進行調整，付款日為發票日次月起算XX天(遇假日提前)</t>
    <phoneticPr fontId="6" type="noConversion"/>
  </si>
  <si>
    <t xml:space="preserve"> 客戶簽章　Client Approval</t>
    <phoneticPr fontId="29" type="noConversion"/>
  </si>
  <si>
    <t>合計</t>
    <phoneticPr fontId="29" type="noConversion"/>
  </si>
  <si>
    <t>5%營業稅(VAT)</t>
    <phoneticPr fontId="29" type="noConversion"/>
  </si>
  <si>
    <t>總金額(Total Amount)</t>
    <phoneticPr fontId="29" type="noConversion"/>
  </si>
  <si>
    <t>預估觀看數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</si>
</sst>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76" formatCode="#,##0.000;[Red]\-#,##0.000"/>
    <numFmt numFmtId="177" formatCode="_ &quot;￥&quot;* #,##0_ ;_ &quot;￥&quot;* \-#,##0_ ;_ &quot;￥&quot;* &quot;-&quot;_ ;_ @_ "/>
    <numFmt numFmtId="178" formatCode="&quot;$&quot;#,##0_);[Red]\(&quot;$&quot;#,##0\)"/>
    <numFmt numFmtId="179" formatCode="#,##0_);[Red]\(#,##0\)"/>
    <numFmt numFmtId="180" formatCode="&quot;$&quot;#,##0"/>
    <numFmt numFmtId="181" formatCode="_-* #,##0_-;\-* #,##0_-;_-* &quot;-&quot;??_-;_-@_-"/>
  </numFmts>
  <fonts count="31">
    <font>
      <sz val="12"/>
      <color theme="1"/>
      <name val="Meiryo"/>
      <family val="2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indexed="8"/>
      <name val="新細明體"/>
      <family val="1"/>
      <charset val="136"/>
    </font>
    <font>
      <sz val="9"/>
      <name val="Meiryo"/>
      <family val="2"/>
      <charset val="136"/>
    </font>
    <font>
      <sz val="12"/>
      <name val="新細明體"/>
      <family val="1"/>
      <charset val="136"/>
    </font>
    <font>
      <sz val="16"/>
      <name val="標楷體"/>
      <family val="4"/>
      <charset val="136"/>
    </font>
    <font>
      <sz val="9"/>
      <name val="新細明體"/>
      <family val="1"/>
      <charset val="136"/>
    </font>
    <font>
      <b/>
      <i/>
      <u/>
      <sz val="20"/>
      <name val="Times New Roman"/>
      <family val="1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indexed="17"/>
      <name val="Calibri"/>
      <family val="2"/>
    </font>
    <font>
      <sz val="12"/>
      <color indexed="20"/>
      <name val="Calibri"/>
      <family val="2"/>
    </font>
    <font>
      <sz val="12"/>
      <color theme="1"/>
      <name val="Meiryo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indexed="8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2"/>
      <name val="宋体"/>
      <family val="3"/>
      <charset val="136"/>
    </font>
    <font>
      <sz val="12"/>
      <color indexed="8"/>
      <name val="新細明體"/>
      <family val="2"/>
      <charset val="136"/>
    </font>
    <font>
      <sz val="14"/>
      <color rgb="FF000000"/>
      <name val="微軟正黑體"/>
      <family val="2"/>
      <charset val="136"/>
    </font>
    <font>
      <sz val="14"/>
      <color theme="0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48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8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0">
    <xf numFmtId="0" fontId="0" fillId="0" borderId="0">
      <alignment vertical="center"/>
    </xf>
    <xf numFmtId="0" fontId="5" fillId="0" borderId="0">
      <alignment vertical="center"/>
    </xf>
    <xf numFmtId="15" fontId="7" fillId="0" borderId="0"/>
    <xf numFmtId="9" fontId="7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2" fillId="0" borderId="0">
      <alignment vertical="center"/>
    </xf>
    <xf numFmtId="15" fontId="7" fillId="0" borderId="0"/>
    <xf numFmtId="43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 applyNumberFormat="0" applyFill="0" applyBorder="0" applyAlignment="0" applyProtection="0"/>
    <xf numFmtId="0" fontId="13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4" fillId="2" borderId="0" applyNumberFormat="0" applyBorder="0" applyAlignment="0" applyProtection="0"/>
    <xf numFmtId="9" fontId="13" fillId="0" borderId="0" applyFont="0" applyFill="0" applyBorder="0" applyAlignment="0" applyProtection="0">
      <alignment vertical="center"/>
    </xf>
    <xf numFmtId="15" fontId="11" fillId="0" borderId="0"/>
    <xf numFmtId="0" fontId="15" fillId="3" borderId="0" applyNumberFormat="0" applyBorder="0" applyAlignment="0" applyProtection="0"/>
    <xf numFmtId="0" fontId="16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0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5" fontId="11" fillId="0" borderId="0"/>
    <xf numFmtId="0" fontId="7" fillId="0" borderId="0">
      <alignment vertical="center"/>
    </xf>
    <xf numFmtId="44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44" fontId="2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2" fillId="0" borderId="0" applyNumberFormat="0" applyFill="0" applyBorder="0" applyProtection="0">
      <alignment vertical="center"/>
    </xf>
    <xf numFmtId="0" fontId="2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177" fontId="21" fillId="0" borderId="0" applyFont="0" applyFill="0" applyBorder="0" applyAlignment="0" applyProtection="0">
      <alignment vertical="center"/>
    </xf>
    <xf numFmtId="0" fontId="3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15" fontId="7" fillId="0" borderId="0"/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5" fillId="0" borderId="0" xfId="1" applyFont="1" applyAlignment="1"/>
    <xf numFmtId="0" fontId="18" fillId="0" borderId="0" xfId="1" applyFont="1" applyAlignment="1"/>
    <xf numFmtId="0" fontId="19" fillId="0" borderId="0" xfId="1" applyFont="1">
      <alignment vertical="center"/>
    </xf>
    <xf numFmtId="176" fontId="18" fillId="0" borderId="0" xfId="1" applyNumberFormat="1" applyFont="1" applyAlignment="1"/>
    <xf numFmtId="38" fontId="18" fillId="0" borderId="0" xfId="1" applyNumberFormat="1" applyFont="1" applyAlignment="1"/>
    <xf numFmtId="38" fontId="18" fillId="0" borderId="0" xfId="3" applyNumberFormat="1" applyFont="1" applyAlignment="1">
      <alignment horizontal="center"/>
    </xf>
    <xf numFmtId="3" fontId="24" fillId="4" borderId="1" xfId="4" applyNumberFormat="1" applyFont="1" applyFill="1" applyBorder="1" applyAlignment="1">
      <alignment horizontal="center" vertical="center"/>
    </xf>
    <xf numFmtId="0" fontId="24" fillId="4" borderId="1" xfId="1" applyFont="1" applyFill="1" applyBorder="1" applyAlignment="1">
      <alignment horizontal="center" vertical="center"/>
    </xf>
    <xf numFmtId="0" fontId="26" fillId="0" borderId="0" xfId="1" applyFont="1" applyAlignment="1">
      <alignment horizontal="left" vertical="center"/>
    </xf>
    <xf numFmtId="38" fontId="18" fillId="0" borderId="0" xfId="3" applyNumberFormat="1" applyFont="1" applyAlignment="1">
      <alignment horizontal="center" vertical="center" wrapText="1"/>
    </xf>
    <xf numFmtId="15" fontId="18" fillId="0" borderId="0" xfId="2" applyFont="1"/>
    <xf numFmtId="0" fontId="25" fillId="0" borderId="0" xfId="8" applyFont="1">
      <alignment vertical="center"/>
    </xf>
    <xf numFmtId="0" fontId="18" fillId="0" borderId="0" xfId="1" applyFont="1">
      <alignment vertical="center"/>
    </xf>
    <xf numFmtId="0" fontId="18" fillId="0" borderId="0" xfId="1" applyFont="1" applyAlignment="1">
      <alignment horizontal="center"/>
    </xf>
    <xf numFmtId="179" fontId="18" fillId="0" borderId="0" xfId="3" applyNumberFormat="1" applyFont="1" applyFill="1" applyBorder="1" applyAlignment="1">
      <alignment horizontal="center" vertical="center" wrapText="1"/>
    </xf>
    <xf numFmtId="0" fontId="23" fillId="0" borderId="1" xfId="6" applyNumberFormat="1" applyFont="1" applyBorder="1" applyAlignment="1">
      <alignment horizontal="center" vertical="center" wrapText="1"/>
    </xf>
    <xf numFmtId="0" fontId="24" fillId="4" borderId="2" xfId="4" applyFont="1" applyFill="1" applyBorder="1" applyAlignment="1">
      <alignment horizontal="center" vertical="center" wrapText="1"/>
    </xf>
    <xf numFmtId="3" fontId="24" fillId="4" borderId="2" xfId="4" applyNumberFormat="1" applyFont="1" applyFill="1" applyBorder="1" applyAlignment="1">
      <alignment horizontal="center" vertical="center"/>
    </xf>
    <xf numFmtId="180" fontId="18" fillId="0" borderId="1" xfId="20" applyNumberFormat="1" applyFont="1" applyBorder="1" applyAlignment="1">
      <alignment vertical="center" wrapText="1"/>
    </xf>
    <xf numFmtId="38" fontId="18" fillId="0" borderId="0" xfId="3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5" fillId="0" borderId="4" xfId="8" applyFont="1" applyBorder="1">
      <alignment vertical="center"/>
    </xf>
    <xf numFmtId="0" fontId="18" fillId="0" borderId="4" xfId="1" applyFont="1" applyBorder="1" applyAlignment="1">
      <alignment horizontal="center"/>
    </xf>
    <xf numFmtId="0" fontId="19" fillId="0" borderId="4" xfId="1" applyFont="1" applyBorder="1">
      <alignment vertical="center"/>
    </xf>
    <xf numFmtId="0" fontId="27" fillId="0" borderId="0" xfId="1" applyFont="1">
      <alignment vertical="center"/>
    </xf>
    <xf numFmtId="178" fontId="24" fillId="4" borderId="3" xfId="4" applyNumberFormat="1" applyFont="1" applyFill="1" applyBorder="1" applyAlignment="1">
      <alignment horizontal="right" vertical="center"/>
    </xf>
    <xf numFmtId="0" fontId="23" fillId="0" borderId="1" xfId="6" applyNumberFormat="1" applyFont="1" applyBorder="1" applyAlignment="1">
      <alignment horizontal="left" vertical="center" wrapText="1"/>
    </xf>
    <xf numFmtId="178" fontId="18" fillId="0" borderId="1" xfId="55" applyNumberFormat="1" applyFont="1" applyBorder="1" applyAlignment="1">
      <alignment horizontal="center" vertical="center" wrapText="1"/>
    </xf>
    <xf numFmtId="38" fontId="28" fillId="0" borderId="0" xfId="3" applyNumberFormat="1" applyFont="1" applyFill="1" applyBorder="1" applyAlignment="1">
      <alignment horizontal="right"/>
    </xf>
    <xf numFmtId="178" fontId="25" fillId="0" borderId="0" xfId="2" applyNumberFormat="1" applyFont="1" applyAlignment="1">
      <alignment horizontal="right" vertical="center"/>
    </xf>
    <xf numFmtId="181" fontId="23" fillId="0" borderId="1" xfId="59" applyNumberFormat="1" applyFont="1" applyBorder="1" applyAlignment="1">
      <alignment horizontal="center" vertical="center" wrapText="1"/>
    </xf>
    <xf numFmtId="0" fontId="18" fillId="0" borderId="5" xfId="20" applyFont="1" applyBorder="1" applyAlignment="1">
      <alignment vertical="center" wrapText="1"/>
    </xf>
    <xf numFmtId="0" fontId="18" fillId="0" borderId="1" xfId="20" applyFont="1" applyBorder="1" applyAlignment="1">
      <alignment vertical="center" wrapText="1"/>
    </xf>
    <xf numFmtId="0" fontId="17" fillId="0" borderId="0" xfId="0" applyFont="1">
      <alignment vertical="center"/>
    </xf>
    <xf numFmtId="0" fontId="24" fillId="4" borderId="2" xfId="0" applyFont="1" applyFill="1" applyBorder="1" applyAlignment="1">
      <alignment horizontal="right" vertical="center"/>
    </xf>
    <xf numFmtId="0" fontId="24" fillId="4" borderId="6" xfId="0" applyFont="1" applyFill="1" applyBorder="1" applyAlignment="1">
      <alignment horizontal="right" vertical="center"/>
    </xf>
    <xf numFmtId="0" fontId="24" fillId="4" borderId="7" xfId="0" applyFont="1" applyFill="1" applyBorder="1" applyAlignment="1">
      <alignment horizontal="right" vertical="center"/>
    </xf>
    <xf numFmtId="0" fontId="24" fillId="4" borderId="8" xfId="0" applyFont="1" applyFill="1" applyBorder="1" applyAlignment="1">
      <alignment horizontal="right" vertical="center"/>
    </xf>
    <xf numFmtId="0" fontId="24" fillId="4" borderId="9" xfId="0" applyFont="1" applyFill="1" applyBorder="1" applyAlignment="1">
      <alignment horizontal="right" vertical="center"/>
    </xf>
    <xf numFmtId="0" fontId="24" fillId="4" borderId="10" xfId="0" applyFont="1" applyFill="1" applyBorder="1" applyAlignment="1">
      <alignment horizontal="right" vertical="center"/>
    </xf>
    <xf numFmtId="0" fontId="30" fillId="0" borderId="0" xfId="1" applyFont="1" applyAlignment="1"/>
  </cellXfs>
  <cellStyles count="60">
    <cellStyle name="??&amp;O?&amp;H?_x0008_?]_x0006__x0007__x0001__x0001_" xfId="2" xr:uid="{00000000-0005-0000-0000-000000000000}"/>
    <cellStyle name="??&amp;O?&amp;H?_x0008_?]_x0006__x0007__x0001__x0001_ 2" xfId="23" xr:uid="{00000000-0005-0000-0000-000000000000}"/>
    <cellStyle name="??&amp;O?&amp;H?_x0008_?]_x0006__x0007__x0001__x0001__Xl0000002_SUNTORY WEB 20101122" xfId="6" xr:uid="{00000000-0005-0000-0000-000001000000}"/>
    <cellStyle name="=C:\WINNT\SYSTEM32\COMMAND.COM" xfId="9" xr:uid="{00000000-0005-0000-0000-000002000000}"/>
    <cellStyle name="=C:\WINNT\SYSTEM32\COMMAND.COM 2" xfId="32" xr:uid="{00000000-0005-0000-0000-000001000000}"/>
    <cellStyle name="Normal_臺灣銀行'成效(全媒體0430正確" xfId="33" xr:uid="{00000000-0005-0000-0000-000002000000}"/>
    <cellStyle name="一般" xfId="0" builtinId="0"/>
    <cellStyle name="一般 10" xfId="56" xr:uid="{1DFABFB4-6D56-4856-8F55-7EBB0E8F1110}"/>
    <cellStyle name="一般 2" xfId="5" xr:uid="{00000000-0005-0000-0000-000004000000}"/>
    <cellStyle name="一般 2 2" xfId="4" xr:uid="{00000000-0005-0000-0000-000005000000}"/>
    <cellStyle name="一般 2 2 2" xfId="17" xr:uid="{00000000-0005-0000-0000-000006000000}"/>
    <cellStyle name="一般 2 3" xfId="18" xr:uid="{00000000-0005-0000-0000-000007000000}"/>
    <cellStyle name="一般 2 3 2" xfId="49" xr:uid="{00000000-0005-0000-0000-000007000000}"/>
    <cellStyle name="一般 2 4" xfId="30" xr:uid="{00000000-0005-0000-0000-000004000000}"/>
    <cellStyle name="一般 2 5" xfId="57" xr:uid="{E202B71A-315C-47FC-A04E-4CD1103B5E1D}"/>
    <cellStyle name="一般 3" xfId="10" xr:uid="{00000000-0005-0000-0000-000008000000}"/>
    <cellStyle name="一般 3 2" xfId="19" xr:uid="{00000000-0005-0000-0000-000009000000}"/>
    <cellStyle name="一般 3 2 2" xfId="34" xr:uid="{00000000-0005-0000-0000-000006000000}"/>
    <cellStyle name="一般 3 2 3" xfId="50" xr:uid="{00000000-0005-0000-0000-000009000000}"/>
    <cellStyle name="一般 3 3" xfId="16" xr:uid="{00000000-0005-0000-0000-00000A000000}"/>
    <cellStyle name="一般 3 4" xfId="24" xr:uid="{00000000-0005-0000-0000-000005000000}"/>
    <cellStyle name="一般 3 5" xfId="46" xr:uid="{00000000-0005-0000-0000-000008000000}"/>
    <cellStyle name="一般 4" xfId="20" xr:uid="{00000000-0005-0000-0000-000044000000}"/>
    <cellStyle name="一般 4 2" xfId="28" xr:uid="{00000000-0005-0000-0000-000007000000}"/>
    <cellStyle name="一般 5" xfId="27" xr:uid="{00000000-0005-0000-0000-000008000000}"/>
    <cellStyle name="一般 5 2" xfId="35" xr:uid="{00000000-0005-0000-0000-000009000000}"/>
    <cellStyle name="一般 6" xfId="29" xr:uid="{00000000-0005-0000-0000-00004C000000}"/>
    <cellStyle name="一般 7" xfId="43" xr:uid="{00000000-0005-0000-0000-00005D000000}"/>
    <cellStyle name="一般 8" xfId="44" xr:uid="{00000000-0005-0000-0000-00005C000000}"/>
    <cellStyle name="一般 9" xfId="52" xr:uid="{00000000-0005-0000-0000-000064000000}"/>
    <cellStyle name="一般_BMW_CUE" xfId="8" xr:uid="{00000000-0005-0000-0000-00000C000000}"/>
    <cellStyle name="一般_三得利10月web" xfId="1" xr:uid="{00000000-0005-0000-0000-00000D000000}"/>
    <cellStyle name="千分位" xfId="59" builtinId="3"/>
    <cellStyle name="千分位 2" xfId="7" xr:uid="{00000000-0005-0000-0000-00000E000000}"/>
    <cellStyle name="千分位 2 2" xfId="36" xr:uid="{00000000-0005-0000-0000-00000A000000}"/>
    <cellStyle name="千分位 2 3" xfId="45" xr:uid="{00000000-0005-0000-0000-00000E000000}"/>
    <cellStyle name="千分位 3" xfId="11" xr:uid="{00000000-0005-0000-0000-00000F000000}"/>
    <cellStyle name="千分位 3 2" xfId="37" xr:uid="{00000000-0005-0000-0000-00000B000000}"/>
    <cellStyle name="千分位 3 3" xfId="47" xr:uid="{00000000-0005-0000-0000-00000F000000}"/>
    <cellStyle name="千分位 4" xfId="21" xr:uid="{00000000-0005-0000-0000-000047000000}"/>
    <cellStyle name="千分位 5" xfId="26" xr:uid="{00000000-0005-0000-0000-000053000000}"/>
    <cellStyle name="千分位 6" xfId="51" xr:uid="{00000000-0005-0000-0000-000060000000}"/>
    <cellStyle name="千分位 7" xfId="53" xr:uid="{00000000-0005-0000-0000-000065000000}"/>
    <cellStyle name="好_Presco_Suntory 1010 (Q4)_200萬_v6" xfId="12" xr:uid="{00000000-0005-0000-0000-000010000000}"/>
    <cellStyle name="百分比 2" xfId="3" xr:uid="{00000000-0005-0000-0000-000011000000}"/>
    <cellStyle name="百分比 2 2" xfId="38" xr:uid="{00000000-0005-0000-0000-000013000000}"/>
    <cellStyle name="百分比 3" xfId="13" xr:uid="{00000000-0005-0000-0000-000012000000}"/>
    <cellStyle name="百分比 3 2" xfId="40" xr:uid="{00000000-0005-0000-0000-000015000000}"/>
    <cellStyle name="百分比 3 3" xfId="39" xr:uid="{00000000-0005-0000-0000-000014000000}"/>
    <cellStyle name="百分比 3 4" xfId="48" xr:uid="{00000000-0005-0000-0000-000012000000}"/>
    <cellStyle name="百分比 4" xfId="22" xr:uid="{00000000-0005-0000-0000-000048000000}"/>
    <cellStyle name="貨幣" xfId="55" builtinId="4"/>
    <cellStyle name="貨幣 2" xfId="31" xr:uid="{00000000-0005-0000-0000-000017000000}"/>
    <cellStyle name="貨幣 3" xfId="41" xr:uid="{00000000-0005-0000-0000-000018000000}"/>
    <cellStyle name="貨幣 4" xfId="25" xr:uid="{00000000-0005-0000-0000-000059000000}"/>
    <cellStyle name="貨幣 5" xfId="54" xr:uid="{00000000-0005-0000-0000-000066000000}"/>
    <cellStyle name="貨幣 6" xfId="58" xr:uid="{D5750B15-071F-49D2-B842-128659AEBE3C}"/>
    <cellStyle name="貨幣[0]" xfId="42" xr:uid="{00000000-0005-0000-0000-000019000000}"/>
    <cellStyle name="樣式 1" xfId="14" xr:uid="{00000000-0005-0000-0000-000013000000}"/>
    <cellStyle name="壞_Presco_Suntory 1010 (Q4)_200萬_v6" xfId="15" xr:uid="{00000000-0005-0000-0000-000014000000}"/>
  </cellStyles>
  <dxfs count="7"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C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C5"/>
        </patternFill>
      </fill>
    </dxf>
    <dxf>
      <fill>
        <patternFill>
          <bgColor rgb="FF92D050"/>
        </patternFill>
      </fill>
    </dxf>
    <dxf>
      <font>
        <color rgb="FFFF0000"/>
      </font>
    </dxf>
  </dxfs>
  <tableStyles count="0" defaultTableStyle="TableStyleMedium9" defaultPivotStyle="PivotStyleLight16"/>
  <colors>
    <mruColors>
      <color rgb="FFFF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21227</xdr:colOff>
      <xdr:row>0</xdr:row>
      <xdr:rowOff>27125</xdr:rowOff>
    </xdr:from>
    <xdr:to>
      <xdr:col>1</xdr:col>
      <xdr:colOff>1203642</xdr:colOff>
      <xdr:row>2</xdr:row>
      <xdr:rowOff>142602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627C5AC-AA56-4852-A56B-83C8D6B22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27" y="27125"/>
          <a:ext cx="3396569" cy="11553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y%20Documents\MediaHabitSample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DAC/AppData/Local/Microsoft/Windows/INetCache/Content.Outlook/XE71FGKU/2017%20Q2%20Media%20Plan_0328.xlsx" TargetMode="External"/><Relationship Id="rId1" Type="http://schemas.openxmlformats.org/officeDocument/2006/relationships/externalLinkPath" Target="/Users/DAC/AppData/Local/Microsoft/Windows/INetCache/Content.Outlook/XE71FGKU/2017%20Q2%20Media%20Plan_032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Files\EXCEL&#22686;&#30410;&#38598;\QUO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ediaDrive\MediaSystem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Desktop\TVScheduleForMed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"/>
      <sheetName val="AllTotal"/>
      <sheetName val="UniverseTotal"/>
      <sheetName val="Subjec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dget_0324"/>
      <sheetName val="Budget_0216"/>
      <sheetName val="Budget_0313"/>
      <sheetName val="Sheet1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版位</v>
          </cell>
          <cell r="B1" t="str">
            <v>金額</v>
          </cell>
        </row>
        <row r="2">
          <cell r="A2" t="str">
            <v>R4</v>
          </cell>
          <cell r="B2">
            <v>120000</v>
          </cell>
        </row>
        <row r="3">
          <cell r="A3" t="str">
            <v>R5</v>
          </cell>
          <cell r="B3">
            <v>150000</v>
          </cell>
        </row>
        <row r="4">
          <cell r="A4" t="str">
            <v>R6</v>
          </cell>
          <cell r="B4">
            <v>180000</v>
          </cell>
        </row>
        <row r="5">
          <cell r="A5" t="str">
            <v>R8</v>
          </cell>
          <cell r="B5">
            <v>240000</v>
          </cell>
        </row>
        <row r="6">
          <cell r="A6" t="str">
            <v>R10</v>
          </cell>
          <cell r="B6">
            <v>300000</v>
          </cell>
        </row>
        <row r="7">
          <cell r="A7" t="str">
            <v>R15</v>
          </cell>
          <cell r="B7">
            <v>450000</v>
          </cell>
        </row>
        <row r="8">
          <cell r="A8" t="str">
            <v>R20</v>
          </cell>
          <cell r="B8">
            <v>600000</v>
          </cell>
        </row>
        <row r="9">
          <cell r="A9" t="str">
            <v>L4</v>
          </cell>
          <cell r="B9">
            <v>126000</v>
          </cell>
        </row>
        <row r="10">
          <cell r="A10" t="str">
            <v>L5</v>
          </cell>
          <cell r="B10">
            <v>157500</v>
          </cell>
        </row>
        <row r="11">
          <cell r="A11" t="str">
            <v>L8</v>
          </cell>
          <cell r="B11">
            <v>252000</v>
          </cell>
        </row>
        <row r="12">
          <cell r="A12" t="str">
            <v>L10</v>
          </cell>
          <cell r="B12">
            <v>315000</v>
          </cell>
        </row>
        <row r="13">
          <cell r="A13" t="str">
            <v>L15</v>
          </cell>
          <cell r="B13">
            <v>472500</v>
          </cell>
        </row>
        <row r="14">
          <cell r="A14" t="str">
            <v>L20</v>
          </cell>
          <cell r="B14">
            <v>630000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說明"/>
      <sheetName val="報價單"/>
    </sheetNames>
    <sheetDataSet>
      <sheetData sheetId="0" refreshError="1"/>
      <sheetData sheetId="1" refreshError="1">
        <row r="501">
          <cell r="AA501" t="str">
            <v>TV140</v>
          </cell>
        </row>
        <row r="502">
          <cell r="AA502" t="str">
            <v>TV160</v>
          </cell>
        </row>
        <row r="503">
          <cell r="AA503" t="str">
            <v>TV180</v>
          </cell>
        </row>
        <row r="504">
          <cell r="AA504" t="str">
            <v>TV200</v>
          </cell>
        </row>
        <row r="505">
          <cell r="AA505" t="str">
            <v>TV280</v>
          </cell>
        </row>
        <row r="506">
          <cell r="AA506" t="str">
            <v>TV300</v>
          </cell>
        </row>
        <row r="507">
          <cell r="AA507" t="str">
            <v>TV320</v>
          </cell>
        </row>
        <row r="508">
          <cell r="AA508" t="str">
            <v>TV37</v>
          </cell>
        </row>
        <row r="509">
          <cell r="AA509" t="str">
            <v>IC666</v>
          </cell>
        </row>
        <row r="510">
          <cell r="AA510" t="str">
            <v>IC888</v>
          </cell>
        </row>
        <row r="511">
          <cell r="AA511" t="str">
            <v>WT123</v>
          </cell>
        </row>
        <row r="512">
          <cell r="AA512" t="str">
            <v>FR102</v>
          </cell>
        </row>
        <row r="513">
          <cell r="AA513" t="str">
            <v>CH632</v>
          </cell>
        </row>
        <row r="514">
          <cell r="AA514" t="str">
            <v>FN765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Data"/>
      <sheetName val="AcNielsenInput"/>
      <sheetName val="MasterSchedule"/>
      <sheetName val="MediaFiles"/>
      <sheetName val="MasterBudget"/>
      <sheetName val="BriefingToMedia"/>
      <sheetName val="FilesFromMedia"/>
      <sheetName val="總表"/>
      <sheetName val="頻道"/>
      <sheetName val="MasterScheduleB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B1" t="str">
            <v>英文代碼</v>
          </cell>
        </row>
        <row r="2">
          <cell r="B2" t="str">
            <v>*CHIN</v>
          </cell>
        </row>
        <row r="3">
          <cell r="B3" t="str">
            <v>*ESPN</v>
          </cell>
        </row>
        <row r="4">
          <cell r="B4" t="str">
            <v>*MVE</v>
          </cell>
        </row>
        <row r="5">
          <cell r="B5" t="str">
            <v>*NGC</v>
          </cell>
        </row>
        <row r="6">
          <cell r="B6" t="str">
            <v>*PLUS</v>
          </cell>
        </row>
        <row r="7">
          <cell r="B7" t="str">
            <v>*sprt</v>
          </cell>
        </row>
        <row r="8">
          <cell r="B8" t="str">
            <v>*V</v>
          </cell>
        </row>
        <row r="9">
          <cell r="B9" t="str">
            <v>*WMVE</v>
          </cell>
        </row>
        <row r="10">
          <cell r="B10" t="str">
            <v>ANIMA</v>
          </cell>
        </row>
        <row r="11">
          <cell r="B11" t="str">
            <v>ASIA</v>
          </cell>
        </row>
        <row r="12">
          <cell r="B12" t="str">
            <v>AXN</v>
          </cell>
        </row>
        <row r="13">
          <cell r="B13" t="str">
            <v>CARTN</v>
          </cell>
        </row>
        <row r="14">
          <cell r="B14" t="str">
            <v>CD-C</v>
          </cell>
        </row>
        <row r="15">
          <cell r="B15" t="str">
            <v>CDRMA</v>
          </cell>
        </row>
        <row r="16">
          <cell r="B16" t="str">
            <v>CMMVE</v>
          </cell>
        </row>
        <row r="17">
          <cell r="B17" t="str">
            <v>CNMAX</v>
          </cell>
        </row>
        <row r="18">
          <cell r="B18" t="str">
            <v>CNNI</v>
          </cell>
        </row>
        <row r="19">
          <cell r="B19" t="str">
            <v>CSMTV</v>
          </cell>
        </row>
        <row r="20">
          <cell r="B20" t="str">
            <v>CSTVB</v>
          </cell>
        </row>
        <row r="21">
          <cell r="B21" t="str">
            <v>CSTVD</v>
          </cell>
        </row>
        <row r="22">
          <cell r="B22" t="str">
            <v>CTN1</v>
          </cell>
        </row>
        <row r="23">
          <cell r="B23" t="str">
            <v>CTN2</v>
          </cell>
        </row>
        <row r="24">
          <cell r="B24" t="str">
            <v>CTS</v>
          </cell>
        </row>
        <row r="25">
          <cell r="B25" t="str">
            <v>CTV</v>
          </cell>
        </row>
        <row r="26">
          <cell r="B26" t="str">
            <v>CTVS</v>
          </cell>
        </row>
        <row r="27">
          <cell r="B27" t="str">
            <v>DADI</v>
          </cell>
        </row>
        <row r="28">
          <cell r="B28" t="str">
            <v>DISCV</v>
          </cell>
        </row>
        <row r="29">
          <cell r="B29" t="str">
            <v>DISNY</v>
          </cell>
        </row>
        <row r="30">
          <cell r="B30" t="str">
            <v>ERA</v>
          </cell>
        </row>
        <row r="31">
          <cell r="B31" t="str">
            <v>ERA-M</v>
          </cell>
        </row>
        <row r="32">
          <cell r="B32" t="str">
            <v>ERA-S</v>
          </cell>
        </row>
        <row r="33">
          <cell r="B33" t="str">
            <v>ETCNB</v>
          </cell>
        </row>
        <row r="34">
          <cell r="B34" t="str">
            <v>ETCNB</v>
          </cell>
        </row>
        <row r="35">
          <cell r="B35" t="str">
            <v>ETHSN</v>
          </cell>
        </row>
        <row r="36">
          <cell r="B36" t="str">
            <v>ET-J</v>
          </cell>
        </row>
        <row r="37">
          <cell r="B37" t="str">
            <v>ET-M</v>
          </cell>
        </row>
        <row r="38">
          <cell r="B38" t="str">
            <v>ET-N</v>
          </cell>
        </row>
        <row r="39">
          <cell r="B39" t="str">
            <v>ET-S</v>
          </cell>
        </row>
        <row r="40">
          <cell r="B40" t="str">
            <v>ETTV</v>
          </cell>
        </row>
        <row r="41">
          <cell r="B41" t="str">
            <v>ETTVS</v>
          </cell>
        </row>
        <row r="42">
          <cell r="B42" t="str">
            <v>ETWEB</v>
          </cell>
        </row>
        <row r="43">
          <cell r="B43" t="str">
            <v>ET-WM</v>
          </cell>
        </row>
        <row r="44">
          <cell r="B44" t="str">
            <v>ET-Y</v>
          </cell>
        </row>
        <row r="45">
          <cell r="B45" t="str">
            <v>FTV</v>
          </cell>
        </row>
        <row r="46">
          <cell r="B46" t="str">
            <v>FTVN</v>
          </cell>
        </row>
        <row r="47">
          <cell r="B47" t="str">
            <v>GBC</v>
          </cell>
        </row>
        <row r="48">
          <cell r="B48" t="str">
            <v>GOTV</v>
          </cell>
        </row>
        <row r="49">
          <cell r="B49" t="str">
            <v>GTV-1</v>
          </cell>
        </row>
        <row r="50">
          <cell r="B50" t="str">
            <v>GTV-C</v>
          </cell>
        </row>
        <row r="51">
          <cell r="B51" t="str">
            <v>GTV-D</v>
          </cell>
        </row>
        <row r="52">
          <cell r="B52" t="str">
            <v>HBO</v>
          </cell>
        </row>
        <row r="53">
          <cell r="B53" t="str">
            <v>Her Tv</v>
          </cell>
        </row>
        <row r="54">
          <cell r="B54" t="str">
            <v>HLMRK</v>
          </cell>
        </row>
        <row r="55">
          <cell r="B55" t="str">
            <v>HLYWD</v>
          </cell>
        </row>
        <row r="56">
          <cell r="B56" t="str">
            <v>HS</v>
          </cell>
        </row>
        <row r="57">
          <cell r="B57" t="str">
            <v>JET</v>
          </cell>
        </row>
        <row r="58">
          <cell r="B58" t="str">
            <v>KH</v>
          </cell>
        </row>
        <row r="59">
          <cell r="B59" t="str">
            <v>KNOW</v>
          </cell>
        </row>
        <row r="60">
          <cell r="B60" t="str">
            <v>LSMVE</v>
          </cell>
        </row>
        <row r="61">
          <cell r="B61" t="str">
            <v>MTV</v>
          </cell>
        </row>
        <row r="62">
          <cell r="B62" t="str">
            <v>MUCH</v>
          </cell>
        </row>
        <row r="63">
          <cell r="B63" t="str">
            <v>ONTV</v>
          </cell>
        </row>
        <row r="64">
          <cell r="B64" t="str">
            <v>OTHER</v>
          </cell>
        </row>
        <row r="65">
          <cell r="B65" t="str">
            <v>PL</v>
          </cell>
        </row>
        <row r="66">
          <cell r="B66" t="str">
            <v>PNEWS</v>
          </cell>
        </row>
        <row r="67">
          <cell r="B67" t="str">
            <v>PTV</v>
          </cell>
        </row>
        <row r="68">
          <cell r="B68" t="str">
            <v>P-TV</v>
          </cell>
        </row>
        <row r="69">
          <cell r="B69" t="str">
            <v>SANLI</v>
          </cell>
        </row>
        <row r="70">
          <cell r="B70" t="str">
            <v>SETN</v>
          </cell>
        </row>
        <row r="71">
          <cell r="B71" t="str">
            <v>SKUO</v>
          </cell>
        </row>
        <row r="72">
          <cell r="B72" t="str">
            <v>SKUO</v>
          </cell>
        </row>
        <row r="73">
          <cell r="B73" t="str">
            <v>SL2</v>
          </cell>
        </row>
        <row r="74">
          <cell r="B74" t="str">
            <v>SL3</v>
          </cell>
        </row>
        <row r="75">
          <cell r="B75" t="str">
            <v>STV</v>
          </cell>
        </row>
        <row r="76">
          <cell r="B76" t="str">
            <v>STV2</v>
          </cell>
        </row>
        <row r="77">
          <cell r="B77" t="str">
            <v>SUNLF</v>
          </cell>
        </row>
        <row r="78">
          <cell r="B78" t="str">
            <v>SUNMV</v>
          </cell>
        </row>
        <row r="79">
          <cell r="B79" t="str">
            <v>SUNTV</v>
          </cell>
        </row>
        <row r="80">
          <cell r="B80" t="str">
            <v>TCS</v>
          </cell>
        </row>
        <row r="81">
          <cell r="B81" t="str">
            <v>TNN</v>
          </cell>
        </row>
        <row r="82">
          <cell r="B82" t="str">
            <v>TNN</v>
          </cell>
        </row>
        <row r="83">
          <cell r="B83" t="str">
            <v>TNN</v>
          </cell>
        </row>
        <row r="84">
          <cell r="B84" t="str">
            <v>TPE-F</v>
          </cell>
        </row>
        <row r="85">
          <cell r="B85" t="str">
            <v>TTV</v>
          </cell>
        </row>
        <row r="86">
          <cell r="B86" t="str">
            <v>TVBS</v>
          </cell>
        </row>
        <row r="87">
          <cell r="B87" t="str">
            <v>TVBSG</v>
          </cell>
        </row>
        <row r="88">
          <cell r="B88" t="str">
            <v>TVBSN</v>
          </cell>
        </row>
        <row r="89">
          <cell r="B89" t="str">
            <v>TVIS</v>
          </cell>
        </row>
        <row r="90">
          <cell r="B90" t="str">
            <v>UBN</v>
          </cell>
        </row>
        <row r="91">
          <cell r="B91" t="str">
            <v>USTV</v>
          </cell>
        </row>
        <row r="92">
          <cell r="B92" t="str">
            <v>VCR</v>
          </cell>
        </row>
        <row r="93">
          <cell r="B93" t="str">
            <v>VLD</v>
          </cell>
        </row>
        <row r="94">
          <cell r="B94" t="str">
            <v>VLJP</v>
          </cell>
        </row>
        <row r="95">
          <cell r="B95" t="str">
            <v>VLM</v>
          </cell>
        </row>
        <row r="96">
          <cell r="B96" t="str">
            <v>VLMVE</v>
          </cell>
        </row>
        <row r="97">
          <cell r="B97" t="str">
            <v>VLSPT</v>
          </cell>
        </row>
        <row r="98">
          <cell r="B98" t="str">
            <v>WEBTV</v>
          </cell>
        </row>
        <row r="99">
          <cell r="B99" t="str">
            <v>YOYO</v>
          </cell>
        </row>
        <row r="100">
          <cell r="B100" t="str">
            <v>Z</v>
          </cell>
        </row>
      </sheetData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Menu"/>
      <sheetName val="SampleSchedule"/>
      <sheetName val="MasterScheduleBAK"/>
      <sheetName val="頻道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英文代碼</v>
          </cell>
        </row>
        <row r="2">
          <cell r="B2" t="str">
            <v>*CHIN</v>
          </cell>
        </row>
        <row r="3">
          <cell r="B3" t="str">
            <v>*ESPN</v>
          </cell>
        </row>
        <row r="4">
          <cell r="B4" t="str">
            <v>*MVE</v>
          </cell>
        </row>
        <row r="5">
          <cell r="B5" t="str">
            <v>*NGC</v>
          </cell>
        </row>
        <row r="6">
          <cell r="B6" t="str">
            <v>*PLUS</v>
          </cell>
        </row>
        <row r="7">
          <cell r="B7" t="str">
            <v>*sprt</v>
          </cell>
        </row>
        <row r="8">
          <cell r="B8" t="str">
            <v>*V</v>
          </cell>
        </row>
        <row r="9">
          <cell r="B9" t="str">
            <v>*WMVE</v>
          </cell>
        </row>
        <row r="10">
          <cell r="B10" t="str">
            <v>ANIMA</v>
          </cell>
        </row>
        <row r="11">
          <cell r="B11" t="str">
            <v>ASIA</v>
          </cell>
        </row>
        <row r="12">
          <cell r="B12" t="str">
            <v>AXN</v>
          </cell>
        </row>
        <row r="13">
          <cell r="B13" t="str">
            <v>CARTN</v>
          </cell>
        </row>
        <row r="14">
          <cell r="B14" t="str">
            <v>CD-C</v>
          </cell>
        </row>
        <row r="15">
          <cell r="B15" t="str">
            <v>CDRMA</v>
          </cell>
        </row>
        <row r="16">
          <cell r="B16" t="str">
            <v>CMMVE</v>
          </cell>
        </row>
        <row r="17">
          <cell r="B17" t="str">
            <v>CNMAX</v>
          </cell>
        </row>
        <row r="18">
          <cell r="B18" t="str">
            <v>CNNI</v>
          </cell>
        </row>
        <row r="19">
          <cell r="B19" t="str">
            <v>CSMTV</v>
          </cell>
        </row>
        <row r="20">
          <cell r="B20" t="str">
            <v>CSTVB</v>
          </cell>
        </row>
        <row r="21">
          <cell r="B21" t="str">
            <v>CSTVD</v>
          </cell>
        </row>
        <row r="22">
          <cell r="B22" t="str">
            <v>CTiE</v>
          </cell>
        </row>
        <row r="23">
          <cell r="B23" t="str">
            <v>CTiK</v>
          </cell>
        </row>
        <row r="24">
          <cell r="B24" t="str">
            <v>CTiN</v>
          </cell>
        </row>
        <row r="25">
          <cell r="B25" t="str">
            <v>CTN1</v>
          </cell>
        </row>
        <row r="26">
          <cell r="B26" t="str">
            <v>CTN2</v>
          </cell>
        </row>
        <row r="27">
          <cell r="B27" t="str">
            <v>CTS</v>
          </cell>
        </row>
        <row r="28">
          <cell r="B28" t="str">
            <v>CTV</v>
          </cell>
        </row>
        <row r="29">
          <cell r="B29" t="str">
            <v>DADI</v>
          </cell>
        </row>
        <row r="30">
          <cell r="B30" t="str">
            <v>DISCV</v>
          </cell>
        </row>
        <row r="31">
          <cell r="B31" t="str">
            <v>DISNY</v>
          </cell>
        </row>
        <row r="32">
          <cell r="B32" t="str">
            <v>ERA</v>
          </cell>
        </row>
        <row r="33">
          <cell r="B33" t="str">
            <v>ERA-M</v>
          </cell>
        </row>
        <row r="34">
          <cell r="B34" t="str">
            <v>ERA-S</v>
          </cell>
        </row>
        <row r="35">
          <cell r="B35" t="str">
            <v>ETCNB</v>
          </cell>
        </row>
        <row r="36">
          <cell r="B36" t="str">
            <v>ETCNB</v>
          </cell>
        </row>
        <row r="37">
          <cell r="B37" t="str">
            <v>ETHSN</v>
          </cell>
        </row>
        <row r="38">
          <cell r="B38" t="str">
            <v>ET-J</v>
          </cell>
        </row>
        <row r="39">
          <cell r="B39" t="str">
            <v>ET-M</v>
          </cell>
        </row>
        <row r="40">
          <cell r="B40" t="str">
            <v>ET-N</v>
          </cell>
        </row>
        <row r="41">
          <cell r="B41" t="str">
            <v>ET-S</v>
          </cell>
        </row>
        <row r="42">
          <cell r="B42" t="str">
            <v>ETTV</v>
          </cell>
        </row>
        <row r="43">
          <cell r="B43" t="str">
            <v>ETTVS</v>
          </cell>
        </row>
        <row r="44">
          <cell r="B44" t="str">
            <v>ETWEB</v>
          </cell>
        </row>
        <row r="45">
          <cell r="B45" t="str">
            <v>ET-WM</v>
          </cell>
        </row>
        <row r="46">
          <cell r="B46" t="str">
            <v>ET-Y</v>
          </cell>
        </row>
        <row r="47">
          <cell r="B47" t="str">
            <v>FTV</v>
          </cell>
        </row>
        <row r="48">
          <cell r="B48" t="str">
            <v>FTVN</v>
          </cell>
        </row>
        <row r="49">
          <cell r="B49" t="str">
            <v>GBC</v>
          </cell>
        </row>
        <row r="50">
          <cell r="B50" t="str">
            <v>GOTV</v>
          </cell>
        </row>
        <row r="51">
          <cell r="B51" t="str">
            <v>GTV-1</v>
          </cell>
        </row>
        <row r="52">
          <cell r="B52" t="str">
            <v>GTV-C</v>
          </cell>
        </row>
        <row r="53">
          <cell r="B53" t="str">
            <v>GTV-D</v>
          </cell>
        </row>
        <row r="54">
          <cell r="B54" t="str">
            <v>HBO</v>
          </cell>
        </row>
        <row r="55">
          <cell r="B55" t="str">
            <v>Her Tv</v>
          </cell>
        </row>
        <row r="56">
          <cell r="B56" t="str">
            <v>HLMRK</v>
          </cell>
        </row>
        <row r="57">
          <cell r="B57" t="str">
            <v>HLYWD</v>
          </cell>
        </row>
        <row r="58">
          <cell r="B58" t="str">
            <v>HS</v>
          </cell>
        </row>
        <row r="59">
          <cell r="B59" t="str">
            <v>JET</v>
          </cell>
        </row>
        <row r="60">
          <cell r="B60" t="str">
            <v>KH</v>
          </cell>
        </row>
        <row r="61">
          <cell r="B61" t="str">
            <v>KNOW</v>
          </cell>
        </row>
        <row r="62">
          <cell r="B62" t="str">
            <v>LSMVE</v>
          </cell>
        </row>
        <row r="63">
          <cell r="B63" t="str">
            <v>MTV</v>
          </cell>
        </row>
        <row r="64">
          <cell r="B64" t="str">
            <v>MUCH</v>
          </cell>
        </row>
        <row r="65">
          <cell r="B65" t="str">
            <v>ONTV</v>
          </cell>
        </row>
        <row r="66">
          <cell r="B66" t="str">
            <v>OTHER</v>
          </cell>
        </row>
        <row r="67">
          <cell r="B67" t="str">
            <v>PL</v>
          </cell>
        </row>
        <row r="68">
          <cell r="B68" t="str">
            <v>PTV</v>
          </cell>
        </row>
        <row r="69">
          <cell r="B69" t="str">
            <v>SANLI</v>
          </cell>
        </row>
        <row r="70">
          <cell r="B70" t="str">
            <v>SETN</v>
          </cell>
        </row>
        <row r="71">
          <cell r="B71" t="str">
            <v>SKUO</v>
          </cell>
        </row>
        <row r="72">
          <cell r="B72" t="str">
            <v>SKUO</v>
          </cell>
        </row>
        <row r="73">
          <cell r="B73" t="str">
            <v>SL2</v>
          </cell>
        </row>
        <row r="74">
          <cell r="B74" t="str">
            <v>SL3</v>
          </cell>
        </row>
        <row r="75">
          <cell r="B75" t="str">
            <v>STV</v>
          </cell>
        </row>
        <row r="76">
          <cell r="B76" t="str">
            <v>STV2</v>
          </cell>
        </row>
        <row r="77">
          <cell r="B77" t="str">
            <v>SUNLF</v>
          </cell>
        </row>
        <row r="78">
          <cell r="B78" t="str">
            <v>SUNMV</v>
          </cell>
        </row>
        <row r="79">
          <cell r="B79" t="str">
            <v>SUNTV</v>
          </cell>
        </row>
        <row r="80">
          <cell r="B80" t="str">
            <v>TCS</v>
          </cell>
        </row>
        <row r="81">
          <cell r="B81" t="str">
            <v>TNN</v>
          </cell>
        </row>
        <row r="82">
          <cell r="B82" t="str">
            <v>TNN</v>
          </cell>
        </row>
        <row r="83">
          <cell r="B83" t="str">
            <v>TNN</v>
          </cell>
        </row>
        <row r="84">
          <cell r="B84" t="str">
            <v>TPE-F</v>
          </cell>
        </row>
        <row r="85">
          <cell r="B85" t="str">
            <v>TTV</v>
          </cell>
        </row>
        <row r="86">
          <cell r="B86" t="str">
            <v>TVBS</v>
          </cell>
        </row>
        <row r="87">
          <cell r="B87" t="str">
            <v>TVBSG</v>
          </cell>
        </row>
        <row r="88">
          <cell r="B88" t="str">
            <v>TVBSN</v>
          </cell>
        </row>
        <row r="89">
          <cell r="B89" t="str">
            <v>TVIS</v>
          </cell>
        </row>
        <row r="90">
          <cell r="B90" t="str">
            <v>UBN</v>
          </cell>
        </row>
        <row r="91">
          <cell r="B91" t="str">
            <v>USTV</v>
          </cell>
        </row>
        <row r="92">
          <cell r="B92" t="str">
            <v>VCR</v>
          </cell>
        </row>
        <row r="93">
          <cell r="B93" t="str">
            <v>VLD</v>
          </cell>
        </row>
        <row r="94">
          <cell r="B94" t="str">
            <v>VLJP</v>
          </cell>
        </row>
        <row r="95">
          <cell r="B95" t="str">
            <v>VLM</v>
          </cell>
        </row>
        <row r="96">
          <cell r="B96" t="str">
            <v>VLMVE</v>
          </cell>
        </row>
        <row r="97">
          <cell r="B97" t="str">
            <v>VLSPT</v>
          </cell>
        </row>
        <row r="98">
          <cell r="B98" t="str">
            <v>WEBTV</v>
          </cell>
        </row>
        <row r="99">
          <cell r="B99" t="str">
            <v>YOYO</v>
          </cell>
        </row>
        <row r="100">
          <cell r="B100" t="str">
            <v>Z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B19BB-2C15-43C3-8019-3B9E7831EB2B}">
  <sheetPr>
    <pageSetUpPr fitToPage="1"/>
  </sheetPr>
  <dimension ref="A1:M25"/>
  <sheetViews>
    <sheetView showGridLines="0" tabSelected="1" zoomScale="70" zoomScaleNormal="70" zoomScaleSheetLayoutView="70" workbookViewId="0">
      <selection activeCell="F9" sqref="F9"/>
    </sheetView>
  </sheetViews>
  <sheetFormatPr defaultColWidth="8.4140625" defaultRowHeight="18"/>
  <cols>
    <col min="1" max="1" width="24.25" style="3" customWidth="1"/>
    <col min="2" max="2" width="37.25" style="3" bestFit="1" customWidth="1"/>
    <col min="3" max="3" width="58.5" style="3" customWidth="1"/>
    <col min="4" max="4" width="12.5" style="3" bestFit="1" customWidth="1"/>
    <col min="5" max="7" width="12.6640625" style="3" customWidth="1"/>
    <col min="8" max="8" width="44.33203125" style="3" customWidth="1"/>
    <col min="9" max="9" width="15" style="3" customWidth="1"/>
    <col min="10" max="10" width="13.83203125" style="3" bestFit="1" customWidth="1"/>
    <col min="11" max="11" width="16" style="3" bestFit="1" customWidth="1"/>
    <col min="12" max="12" width="15.5" style="3" bestFit="1" customWidth="1"/>
    <col min="13" max="16384" width="8.4140625" style="3"/>
  </cols>
  <sheetData>
    <row r="1" spans="1:13" s="2" customFormat="1" ht="41.25" customHeight="1">
      <c r="A1" s="1"/>
      <c r="H1" s="6"/>
      <c r="I1" s="6"/>
      <c r="J1" s="6"/>
      <c r="K1" s="5"/>
      <c r="L1" s="5"/>
    </row>
    <row r="2" spans="1:13" s="2" customFormat="1" ht="41.25" customHeight="1">
      <c r="A2" s="1"/>
      <c r="B2" s="9"/>
      <c r="C2" s="9"/>
      <c r="D2" s="9"/>
      <c r="E2" s="9"/>
      <c r="F2" s="9"/>
      <c r="G2" s="9"/>
      <c r="H2" s="6"/>
      <c r="I2" s="6"/>
      <c r="J2" s="6"/>
      <c r="K2" s="5"/>
      <c r="L2" s="5"/>
    </row>
    <row r="3" spans="1:13" s="2" customFormat="1" ht="36" customHeight="1">
      <c r="A3" s="41" t="s">
        <v>4</v>
      </c>
      <c r="B3" s="9"/>
      <c r="C3" s="9"/>
      <c r="D3" s="9"/>
      <c r="E3" s="9"/>
      <c r="F3" s="9"/>
      <c r="G3" s="9"/>
      <c r="H3" s="6"/>
      <c r="I3" s="6"/>
      <c r="J3" s="6"/>
      <c r="K3" s="5"/>
      <c r="L3" s="5"/>
    </row>
    <row r="4" spans="1:13" s="2" customFormat="1" ht="18.600000000000001" customHeight="1">
      <c r="A4" s="13" t="s">
        <v>10</v>
      </c>
      <c r="H4" s="6"/>
      <c r="I4" s="6"/>
      <c r="J4" s="6"/>
      <c r="K4" s="5"/>
      <c r="L4" s="5"/>
    </row>
    <row r="5" spans="1:13" ht="18.600000000000001" customHeight="1">
      <c r="A5" s="13" t="s">
        <v>11</v>
      </c>
      <c r="B5" s="2"/>
      <c r="C5" s="2"/>
      <c r="D5" s="2"/>
      <c r="E5" s="2"/>
      <c r="F5" s="2"/>
      <c r="G5" s="2"/>
      <c r="H5" s="6"/>
      <c r="I5" s="6"/>
      <c r="J5" s="6"/>
      <c r="K5" s="5"/>
      <c r="L5" s="4"/>
    </row>
    <row r="6" spans="1:13" ht="18.600000000000001" customHeight="1">
      <c r="A6" s="13" t="s">
        <v>12</v>
      </c>
      <c r="B6" s="2"/>
      <c r="C6" s="2"/>
      <c r="D6" s="2"/>
      <c r="E6" s="2"/>
      <c r="F6" s="2"/>
      <c r="G6" s="2"/>
      <c r="H6" s="6"/>
      <c r="I6" s="6"/>
      <c r="J6" s="6"/>
      <c r="K6" s="5"/>
      <c r="L6" s="5"/>
    </row>
    <row r="7" spans="1:13" ht="16.5" customHeight="1">
      <c r="A7" s="13"/>
      <c r="B7" s="2"/>
      <c r="C7" s="2"/>
      <c r="D7" s="2"/>
      <c r="E7" s="2"/>
      <c r="F7" s="2"/>
      <c r="G7" s="2"/>
      <c r="H7" s="6"/>
      <c r="I7" s="6"/>
      <c r="J7" s="6"/>
      <c r="K7" s="5"/>
      <c r="L7" s="5"/>
    </row>
    <row r="8" spans="1:13" ht="26.25" customHeight="1">
      <c r="A8" s="8" t="s">
        <v>13</v>
      </c>
      <c r="B8" s="7" t="s">
        <v>0</v>
      </c>
      <c r="C8" s="18" t="s">
        <v>1</v>
      </c>
      <c r="D8" s="18" t="s">
        <v>7</v>
      </c>
      <c r="E8" s="18" t="s">
        <v>8</v>
      </c>
      <c r="F8" s="18" t="s">
        <v>19</v>
      </c>
      <c r="G8" s="18" t="s">
        <v>9</v>
      </c>
      <c r="H8" s="18" t="s">
        <v>3</v>
      </c>
      <c r="I8" s="17" t="s">
        <v>2</v>
      </c>
    </row>
    <row r="9" spans="1:13" ht="162" customHeight="1">
      <c r="A9" s="21"/>
      <c r="B9" s="27"/>
      <c r="C9" s="19"/>
      <c r="D9" s="16"/>
      <c r="E9" s="31"/>
      <c r="F9" s="31"/>
      <c r="G9" s="31"/>
      <c r="H9" s="33"/>
      <c r="I9" s="28"/>
    </row>
    <row r="10" spans="1:13" ht="162" customHeight="1">
      <c r="A10" s="21"/>
      <c r="B10" s="27"/>
      <c r="C10" s="19"/>
      <c r="D10" s="16"/>
      <c r="E10" s="31"/>
      <c r="F10" s="31"/>
      <c r="G10" s="31"/>
      <c r="H10" s="32"/>
      <c r="I10" s="28"/>
    </row>
    <row r="11" spans="1:13" ht="21.75" customHeight="1">
      <c r="A11" s="35" t="s">
        <v>16</v>
      </c>
      <c r="B11" s="36"/>
      <c r="C11" s="36"/>
      <c r="D11" s="36"/>
      <c r="E11" s="36"/>
      <c r="F11" s="36"/>
      <c r="G11" s="36"/>
      <c r="H11" s="37"/>
      <c r="I11" s="26">
        <f>SUM(I8:I10)</f>
        <v>0</v>
      </c>
    </row>
    <row r="12" spans="1:13" ht="21.75" customHeight="1">
      <c r="A12" s="35" t="s">
        <v>17</v>
      </c>
      <c r="B12" s="36"/>
      <c r="C12" s="36"/>
      <c r="D12" s="36"/>
      <c r="E12" s="36"/>
      <c r="F12" s="36"/>
      <c r="G12" s="36"/>
      <c r="H12" s="37"/>
      <c r="I12" s="26">
        <f>I11*0.05</f>
        <v>0</v>
      </c>
    </row>
    <row r="13" spans="1:13" ht="21.75" customHeight="1">
      <c r="A13" s="38" t="s">
        <v>18</v>
      </c>
      <c r="B13" s="39"/>
      <c r="C13" s="39"/>
      <c r="D13" s="39"/>
      <c r="E13" s="39"/>
      <c r="F13" s="39"/>
      <c r="G13" s="39"/>
      <c r="H13" s="40"/>
      <c r="I13" s="26">
        <f>I11+I12</f>
        <v>0</v>
      </c>
    </row>
    <row r="14" spans="1:13">
      <c r="A14" s="25" t="s">
        <v>14</v>
      </c>
      <c r="B14" s="2"/>
      <c r="C14" s="2"/>
      <c r="D14" s="2"/>
      <c r="E14" s="2"/>
      <c r="F14" s="2"/>
      <c r="G14" s="2"/>
      <c r="H14" s="20"/>
      <c r="I14" s="20"/>
      <c r="J14" s="10"/>
      <c r="K14" s="2"/>
      <c r="L14" s="2"/>
    </row>
    <row r="15" spans="1:13">
      <c r="A15" s="25" t="s">
        <v>6</v>
      </c>
      <c r="B15" s="2"/>
      <c r="C15" s="2"/>
      <c r="D15" s="2"/>
      <c r="E15" s="2"/>
      <c r="F15" s="2"/>
      <c r="G15" s="2"/>
      <c r="H15" s="29"/>
      <c r="I15" s="30"/>
      <c r="J15" s="6"/>
      <c r="K15" s="10"/>
      <c r="L15" s="2"/>
      <c r="M15" s="2"/>
    </row>
    <row r="16" spans="1:13" ht="18.75" customHeight="1">
      <c r="B16" s="2"/>
      <c r="C16" s="2"/>
      <c r="D16" s="2"/>
      <c r="E16" s="2"/>
      <c r="F16" s="2"/>
      <c r="G16" s="2"/>
      <c r="H16" s="29"/>
      <c r="I16" s="30"/>
      <c r="J16" s="6"/>
      <c r="K16" s="10"/>
      <c r="L16" s="2"/>
      <c r="M16" s="2"/>
    </row>
    <row r="17" spans="1:13" ht="18.75" customHeight="1">
      <c r="B17" s="2"/>
      <c r="C17" s="2"/>
      <c r="D17" s="2"/>
      <c r="E17" s="2"/>
      <c r="F17" s="2"/>
      <c r="G17" s="2"/>
      <c r="H17" s="29"/>
      <c r="I17" s="30"/>
      <c r="J17" s="6"/>
      <c r="K17" s="10"/>
      <c r="L17" s="2"/>
      <c r="M17" s="2"/>
    </row>
    <row r="18" spans="1:13" ht="18.75" customHeight="1">
      <c r="B18" s="2"/>
      <c r="C18" s="2"/>
      <c r="D18" s="2"/>
      <c r="E18" s="2"/>
      <c r="F18" s="2"/>
      <c r="G18" s="2"/>
      <c r="H18" s="29"/>
      <c r="I18" s="30"/>
      <c r="J18" s="6"/>
      <c r="K18" s="10"/>
      <c r="L18" s="2"/>
      <c r="M18" s="2"/>
    </row>
    <row r="19" spans="1:13" ht="18.75" customHeight="1">
      <c r="B19" s="2"/>
      <c r="C19" s="2"/>
      <c r="D19" s="2"/>
      <c r="E19" s="2"/>
      <c r="F19" s="2"/>
      <c r="G19" s="2"/>
      <c r="H19" s="29"/>
      <c r="I19" s="30"/>
      <c r="J19" s="6"/>
      <c r="K19" s="10"/>
      <c r="L19" s="2"/>
      <c r="M19" s="2"/>
    </row>
    <row r="20" spans="1:13" ht="18.75" customHeight="1">
      <c r="B20" s="2"/>
      <c r="C20" s="2"/>
      <c r="D20" s="2"/>
      <c r="E20" s="2"/>
      <c r="F20" s="2"/>
      <c r="G20" s="2"/>
      <c r="H20" s="29"/>
      <c r="I20" s="30"/>
      <c r="J20" s="6"/>
      <c r="K20" s="10"/>
      <c r="L20" s="2"/>
      <c r="M20" s="2"/>
    </row>
    <row r="21" spans="1:13" ht="18.75" customHeight="1">
      <c r="B21" s="2"/>
      <c r="C21" s="2"/>
      <c r="D21" s="2"/>
      <c r="E21" s="2"/>
      <c r="F21" s="2"/>
      <c r="G21" s="2"/>
      <c r="H21" s="10"/>
      <c r="I21" s="10"/>
      <c r="J21" s="6"/>
      <c r="K21" s="10"/>
      <c r="L21" s="2"/>
      <c r="M21" s="2"/>
    </row>
    <row r="22" spans="1:13" ht="18.75" customHeight="1">
      <c r="B22" s="11"/>
      <c r="C22" s="11"/>
      <c r="D22" s="2"/>
      <c r="E22" s="2"/>
      <c r="F22" s="2"/>
      <c r="G22" s="2"/>
      <c r="H22" s="10"/>
      <c r="I22" s="10"/>
      <c r="J22" s="6"/>
      <c r="K22" s="10"/>
      <c r="L22" s="2"/>
      <c r="M22" s="2"/>
    </row>
    <row r="23" spans="1:13" ht="18.75" customHeight="1">
      <c r="A23" s="22"/>
      <c r="B23" s="23"/>
      <c r="C23" s="14"/>
      <c r="D23" s="11"/>
      <c r="E23" s="11"/>
      <c r="F23" s="11"/>
      <c r="G23" s="11"/>
      <c r="H23" s="24"/>
      <c r="I23" s="22"/>
      <c r="J23" s="10"/>
      <c r="K23" s="2"/>
      <c r="L23" s="2"/>
    </row>
    <row r="24" spans="1:13" ht="18.75" customHeight="1">
      <c r="A24" s="34" t="s">
        <v>15</v>
      </c>
      <c r="D24" s="11"/>
      <c r="E24" s="11"/>
      <c r="F24" s="11"/>
      <c r="G24" s="11"/>
      <c r="H24" s="3" t="s">
        <v>5</v>
      </c>
      <c r="J24" s="10"/>
      <c r="K24" s="5"/>
      <c r="L24" s="5"/>
    </row>
    <row r="25" spans="1:13" ht="18.75" customHeight="1">
      <c r="D25" s="14"/>
      <c r="E25" s="14"/>
      <c r="F25" s="14"/>
      <c r="G25" s="14"/>
      <c r="J25" s="12"/>
      <c r="K25" s="15"/>
      <c r="L25" s="5"/>
    </row>
  </sheetData>
  <mergeCells count="3">
    <mergeCell ref="A11:H11"/>
    <mergeCell ref="A12:H12"/>
    <mergeCell ref="A13:H13"/>
  </mergeCells>
  <phoneticPr fontId="6" type="noConversion"/>
  <conditionalFormatting sqref="I11:I13">
    <cfRule type="containsText" dxfId="6" priority="1" operator="containsText" text="exclusive">
      <formula>NOT(ISERROR(SEARCH("exclusive",I11)))</formula>
    </cfRule>
    <cfRule type="containsText" dxfId="5" priority="2" operator="containsText" text="麻吉">
      <formula>NOT(ISERROR(SEARCH("麻吉",I11)))</formula>
    </cfRule>
    <cfRule type="containsText" dxfId="4" priority="3" operator="containsText" text="聯賣">
      <formula>NOT(ISERROR(SEARCH("聯賣",I11)))</formula>
    </cfRule>
    <cfRule type="containsText" dxfId="3" priority="4" operator="containsText" text="18-08">
      <formula>NOT(ISERROR(SEARCH("18-08",I11)))</formula>
    </cfRule>
    <cfRule type="containsText" dxfId="2" priority="5" operator="containsText" text="品牌">
      <formula>NOT(ISERROR(SEARCH("品牌",I11)))</formula>
    </cfRule>
    <cfRule type="containsText" dxfId="1" priority="6" operator="containsText" text="雙星">
      <formula>NOT(ISERROR(SEARCH("雙星",I11)))</formula>
    </cfRule>
    <cfRule type="expression" dxfId="0" priority="7">
      <formula>IF(MID(I11,SEARCH("|",I11)+1,1)="|",0,1)</formula>
    </cfRule>
  </conditionalFormatting>
  <pageMargins left="0" right="0" top="0" bottom="0" header="0" footer="0"/>
  <pageSetup paperSize="9" scale="4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調理家電新品KOC合作</vt:lpstr>
      <vt:lpstr>調理家電新品KOC合作!Print_Area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</dc:creator>
  <cp:lastModifiedBy>Jason Huang</cp:lastModifiedBy>
  <cp:lastPrinted>2025-08-25T02:08:47Z</cp:lastPrinted>
  <dcterms:created xsi:type="dcterms:W3CDTF">2017-09-19T11:13:40Z</dcterms:created>
  <dcterms:modified xsi:type="dcterms:W3CDTF">2026-04-30T02:37:46Z</dcterms:modified>
</cp:coreProperties>
</file>